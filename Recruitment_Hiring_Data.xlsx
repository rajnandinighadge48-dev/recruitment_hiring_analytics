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R ANALYTICS PORTFOLIO\RECRUITMENT_HIRING_ANALYTICS\Excel\Recruitment_Hiring_Data.xlsx\"/>
    </mc:Choice>
  </mc:AlternateContent>
  <xr:revisionPtr revIDLastSave="0" documentId="13_ncr:1_{A8320FDD-1258-41B6-99A4-3A9E09488EFC}" xr6:coauthVersionLast="47" xr6:coauthVersionMax="47" xr10:uidLastSave="{00000000-0000-0000-0000-000000000000}"/>
  <bookViews>
    <workbookView xWindow="-120" yWindow="-120" windowWidth="20730" windowHeight="11040" activeTab="1" xr2:uid="{330B4A3C-A49E-44A5-92EB-0893BAC1326A}"/>
  </bookViews>
  <sheets>
    <sheet name="Raw_Data" sheetId="1" r:id="rId1"/>
    <sheet name="Analysis" sheetId="2" r:id="rId2"/>
    <sheet name="+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" l="1"/>
  <c r="J20" i="2"/>
  <c r="J19" i="2"/>
  <c r="J18" i="2"/>
  <c r="J17" i="2"/>
  <c r="J16" i="2"/>
  <c r="E20" i="2"/>
  <c r="E19" i="2"/>
  <c r="E18" i="2"/>
  <c r="E17" i="2"/>
  <c r="E16" i="2"/>
  <c r="B25" i="2"/>
  <c r="B24" i="2"/>
  <c r="B23" i="2"/>
  <c r="B22" i="2"/>
  <c r="B21" i="2"/>
  <c r="L7" i="2"/>
  <c r="L8" i="2"/>
  <c r="L9" i="2"/>
  <c r="L10" i="2"/>
  <c r="L11" i="2"/>
  <c r="L6" i="2"/>
  <c r="K7" i="2"/>
  <c r="K8" i="2"/>
  <c r="K9" i="2"/>
  <c r="K10" i="2"/>
  <c r="K11" i="2"/>
  <c r="K6" i="2"/>
  <c r="J7" i="2"/>
  <c r="J8" i="2"/>
  <c r="J9" i="2"/>
  <c r="J10" i="2"/>
  <c r="J11" i="2"/>
  <c r="J6" i="2"/>
  <c r="G7" i="2"/>
  <c r="G8" i="2"/>
  <c r="G9" i="2"/>
  <c r="G10" i="2"/>
  <c r="G6" i="2"/>
  <c r="F7" i="2"/>
  <c r="F8" i="2"/>
  <c r="F9" i="2"/>
  <c r="F10" i="2"/>
  <c r="F6" i="2"/>
  <c r="E7" i="2"/>
  <c r="E8" i="2"/>
  <c r="E9" i="2"/>
  <c r="E10" i="2"/>
  <c r="E6" i="2"/>
  <c r="B16" i="2"/>
  <c r="B15" i="2"/>
  <c r="B14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<sst xmlns="http://schemas.openxmlformats.org/spreadsheetml/2006/main" count="553" uniqueCount="121">
  <si>
    <t>Candidate_ID</t>
  </si>
  <si>
    <t>Department</t>
  </si>
  <si>
    <t>Job_Role</t>
  </si>
  <si>
    <t>Source</t>
  </si>
  <si>
    <t>Application_Date</t>
  </si>
  <si>
    <t>Screening_Status</t>
  </si>
  <si>
    <t>Interview_Status</t>
  </si>
  <si>
    <t>Selection_Status</t>
  </si>
  <si>
    <t>Joining_Status</t>
  </si>
  <si>
    <t>Experience_Years</t>
  </si>
  <si>
    <t>Time_to_Hire_Days</t>
  </si>
  <si>
    <t>Hiring_Cost</t>
  </si>
  <si>
    <t>Salary_Offered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</si>
  <si>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</si>
  <si>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</si>
  <si>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</si>
  <si>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</si>
  <si>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</si>
  <si>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</si>
  <si>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</si>
  <si>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</si>
  <si>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</si>
  <si>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</si>
  <si>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</si>
  <si>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</si>
  <si>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</si>
  <si>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</si>
  <si>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</si>
  <si>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</si>
  <si>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</si>
  <si>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</si>
  <si>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</si>
  <si>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</si>
  <si>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</si>
  <si>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</si>
  <si>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</si>
  <si>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</si>
  <si>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</si>
  <si>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</si>
  <si>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</si>
  <si>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</si>
  <si>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</si>
  <si>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</si>
  <si>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</si>
  <si>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</si>
  <si>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</si>
  <si>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</si>
  <si>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</si>
  <si>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</si>
  <si>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</si>
  <si>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</si>
  <si>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</si>
  <si>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</si>
  <si>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</si>
  <si>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</si>
  <si>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</si>
  <si>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</si>
  <si>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</si>
  <si>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</si>
  <si>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</si>
  <si>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</si>
  <si>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</si>
  <si>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</si>
  <si>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</si>
  <si>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</si>
  <si>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</si>
  <si>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</si>
  <si>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</si>
  <si>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</si>
  <si>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</si>
  <si>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</si>
  <si>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</si>
  <si>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</si>
  <si>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HR</t>
  </si>
  <si>
    <t>IT</t>
  </si>
  <si>
    <t>Finance</t>
  </si>
  <si>
    <t>Sales</t>
  </si>
  <si>
    <t>Marketing</t>
  </si>
  <si>
    <t>Operations</t>
  </si>
  <si>
    <t>HR Executive</t>
  </si>
  <si>
    <t>Sales Executive</t>
  </si>
  <si>
    <t>Marketing Executive</t>
  </si>
  <si>
    <t>Operations Executive</t>
  </si>
  <si>
    <t>Software Developer</t>
  </si>
  <si>
    <t>Financial Analyst</t>
  </si>
  <si>
    <t>LinkedIn</t>
  </si>
  <si>
    <t>Naukri</t>
  </si>
  <si>
    <t>Employee Referral</t>
  </si>
  <si>
    <t>Indeed</t>
  </si>
  <si>
    <t>Campus Recruitment</t>
  </si>
  <si>
    <t>Shortlisted</t>
  </si>
  <si>
    <t>Rejected</t>
  </si>
  <si>
    <t>Selected</t>
  </si>
  <si>
    <t>Not Conducted</t>
  </si>
  <si>
    <t>Not Selected</t>
  </si>
  <si>
    <t>Joined</t>
  </si>
  <si>
    <t>Not Applicable</t>
  </si>
  <si>
    <t>Declined</t>
  </si>
  <si>
    <t>RECRUITMENT&amp; HIRING ANALYTICS</t>
  </si>
  <si>
    <t>SOURCE ANALYSIS</t>
  </si>
  <si>
    <t>Candidates</t>
  </si>
  <si>
    <t>Recruitment Funnel | Source Effectiveness | Hiring Efficiency</t>
  </si>
  <si>
    <t>KEY RECRUITMENT METRICS</t>
  </si>
  <si>
    <t>Total Candidates</t>
  </si>
  <si>
    <t>Shortlisted Candidates</t>
  </si>
  <si>
    <t>Interviewed Candidates</t>
  </si>
  <si>
    <t>Selected Candidates</t>
  </si>
  <si>
    <t>Joined Candidates</t>
  </si>
  <si>
    <t>Average Time to Hire</t>
  </si>
  <si>
    <t>Total Hiring Cost</t>
  </si>
  <si>
    <t>Average Salary Offered</t>
  </si>
  <si>
    <t>Screening Conversion Rate</t>
  </si>
  <si>
    <t>Interview-to-Selection Rate</t>
  </si>
  <si>
    <t>Selection-to-Joining Rate</t>
  </si>
  <si>
    <t>DEPARTMENT ANALYSIS</t>
  </si>
  <si>
    <t>RECRUITMENT FUNNEL</t>
  </si>
  <si>
    <t>Stage</t>
  </si>
  <si>
    <t>Applications</t>
  </si>
  <si>
    <t>Interviewed</t>
  </si>
  <si>
    <t>RECRUITMENT SOURCE</t>
  </si>
  <si>
    <t>DEPARTMENT HIRING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</si>
</sst>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  <font>
      <b/>
      <sz val="11"/>
      <color theme="4" tint="-0.249977111117893"/>
      <name val="Century"/>
      <family val="1"/>
    </font>
    <font>
      <b/>
      <sz val="11"/>
      <color theme="4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">
    <dxf>
      <numFmt numFmtId="164" formatCode="&quot;₹&quot;\ #,##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Recruitment</a:t>
            </a:r>
            <a:r>
              <a:rPr lang="en-IN" baseline="0"/>
              <a:t> Funnel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Candidates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Analysis!$A$21:$A$25</c:f>
              <c:strCache>
                <c:ptCount val="5"/>
                <c:pt idx="0">
                  <c:v>Applications</c:v>
                </c:pt>
                <c:pt idx="1">
                  <c:v>Shortlisted</c:v>
                </c:pt>
                <c:pt idx="2">
                  <c:v>Interviewed</c:v>
                </c:pt>
                <c:pt idx="3">
                  <c:v>Selected</c:v>
                </c:pt>
                <c:pt idx="4">
                  <c:v>Joined</c:v>
                </c:pt>
              </c:strCache>
            </c:strRef>
          </c:cat>
          <c:val>
            <c:numRef>
              <c:f>Analysis!$B$21:$B$25</c:f>
              <c:numCache>
                <c:formatCode>General</c:formatCode>
                <c:ptCount val="5"/>
                <c:pt idx="0">
                  <c:v>60</c:v>
                </c:pt>
                <c:pt idx="1">
                  <c:v>49</c:v>
                </c:pt>
                <c:pt idx="2">
                  <c:v>49</c:v>
                </c:pt>
                <c:pt idx="3">
                  <c:v>35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C-460D-BAF2-E25D2FD3F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9068271"/>
        <c:axId val="2079068687"/>
      </c:barChart>
      <c:catAx>
        <c:axId val="207906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68687"/>
        <c:crosses val="autoZero"/>
        <c:auto val="1"/>
        <c:lblAlgn val="ctr"/>
        <c:lblOffset val="100"/>
        <c:noMultiLvlLbl val="0"/>
      </c:catAx>
      <c:valAx>
        <c:axId val="20790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6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Candidates by Recruitment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Analysis!$E$15</c:f>
              <c:strCache>
                <c:ptCount val="1"/>
                <c:pt idx="0">
                  <c:v>Candidates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Analysis!$D$16:$D$20</c:f>
              <c:strCache>
                <c:ptCount val="5"/>
                <c:pt idx="0">
                  <c:v>LinkedIn</c:v>
                </c:pt>
                <c:pt idx="1">
                  <c:v>Naukri</c:v>
                </c:pt>
                <c:pt idx="2">
                  <c:v>Employee Referral</c:v>
                </c:pt>
                <c:pt idx="3">
                  <c:v>Indeed</c:v>
                </c:pt>
                <c:pt idx="4">
                  <c:v>Campus Recruitment</c:v>
                </c:pt>
              </c:strCache>
            </c:strRef>
          </c:cat>
          <c:val>
            <c:numRef>
              <c:f>Analysis!$E$16:$E$20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14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8-4296-9DB0-64C818FB6A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73750239"/>
        <c:axId val="2073743583"/>
      </c:barChart>
      <c:catAx>
        <c:axId val="207375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743583"/>
        <c:crosses val="autoZero"/>
        <c:auto val="1"/>
        <c:lblAlgn val="ctr"/>
        <c:lblOffset val="100"/>
        <c:noMultiLvlLbl val="0"/>
      </c:catAx>
      <c:valAx>
        <c:axId val="2073743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375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25</xdr:row>
      <xdr:rowOff>0</xdr:rowOff>
    </xdr:from>
    <xdr:to>
      <xdr:col>1</xdr:col>
      <xdr:colOff>1133475</xdr:colOff>
      <xdr:row>39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2B788-8B5E-E370-C927-46BDB70E0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1162050</xdr:colOff>
      <xdr:row>24</xdr:row>
      <xdr:rowOff>171450</xdr:rowOff>
    </xdr:from>
    <xdr:to>
      <xdr:col>8</xdr:col>
      <xdr:colOff>95250</xdr:colOff>
      <xdr:row>39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2422DC-D0C3-4F57-3559-5AC83C474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E9C4D-7E54-40F5-8C8C-7D3DD9BB069F}" name="Table1" displayName="Table1" ref="A1:M61" totalsRowShown="0" headerRowDxfId="2">
  <autoFilter ref="A1:M61" xr:uid="{EE7E9C4D-7E54-40F5-8C8C-7D3DD9BB069F}"/>
  <tableColumns count="13">
    <tableColumn id="1" xr3:uid="{47D63E34-993D-4106-A3A5-E8A5E364F14E}" name="Candidate_ID"/>
    <tableColumn id="2" xr3:uid="{7665F397-92AD-4C8F-99E7-AE1A92883D05}" name="Department"/>
    <tableColumn id="3" xr3:uid="{F6CED700-699C-4017-A70A-D22A5521136D}" name="Job_Role"/>
    <tableColumn id="4" xr3:uid="{C157AD49-B173-4D5B-A405-14524E7EB568}" name="Source"/>
    <tableColumn id="5" xr3:uid="{03934403-CC45-4AF6-BE37-156935400B72}" name="Application_Date" dataDxfId="1"/>
    <tableColumn id="6" xr3:uid="{C19DBC64-7A2E-49D4-A256-14394AA5DC9B}" name="Screening_Status"/>
    <tableColumn id="7" xr3:uid="{154A0607-6FDF-4F20-AC78-51909391F59D}" name="Interview_Status"/>
    <tableColumn id="8" xr3:uid="{CE540255-7DF6-45D3-AF61-2AA1034A5CB9}" name="Selection_Status"/>
    <tableColumn id="9" xr3:uid="{18529160-1284-4712-9A82-89187356B1CC}" name="Joining_Status"/>
    <tableColumn id="10" xr3:uid="{31215541-7871-42CA-A630-9EB9558F1BB8}" name="Experience_Years"/>
    <tableColumn id="11" xr3:uid="{F289027D-3801-4D6B-A0CD-01730AA3AAAC}" name="Time_to_Hire_Days"/>
    <tableColumn id="12" xr3:uid="{4A5CB2CC-8411-492C-BDBC-FE9D709F0D5D}" name="Hiring_Cost"/>
    <tableColumn id="13" xr3:uid="{033BE4DD-A25E-464D-A313-1C1436D2FDF5}" name="Salary_Offe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8217-AE1E-4EEF-A79A-7338A5FDAF1B}">
  <dimension ref="A1:N61"/>
  <sheetViews>
    <sheetView topLeftCell="G1" zoomScale="115" zoomScaleNormal="115" workbookViewId="0">
      <pane ySplit="1" topLeftCell="A54" activePane="bottomLeft" state="frozen"/>
      <selection activeCell="G1" sqref="G1"/>
      <selection pane="bottomLeft" sqref="A1:M1"/>
    </sheetView>
  </sheetViews>
  <sheetFormatPr defaultRowHeight="15" x14ac:dyDescent="0.25"/>
  <cols>
    <col min="1" max="1" width="17.140625" bestFit="1" customWidth="1"/>
    <col min="2" max="2" width="13.5703125" customWidth="1"/>
    <col min="3" max="3" width="20.140625" bestFit="1" customWidth="1"/>
    <col min="4" max="4" width="19.7109375" bestFit="1" customWidth="1"/>
    <col min="5" max="7" width="17.7109375" customWidth="1"/>
    <col min="8" max="8" width="17.28515625" customWidth="1"/>
    <col min="9" max="9" width="15.28515625" customWidth="1"/>
    <col min="10" max="10" width="18.28515625" customWidth="1"/>
    <col min="11" max="11" width="19.85546875" customWidth="1"/>
    <col min="12" max="12" width="12.85546875" customWidth="1"/>
    <col min="13" max="13" width="15.7109375" customWidth="1"/>
    <col min="14" max="1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73</v>
      </c>
      <c r="C2" t="s">
        <v>79</v>
      </c>
      <c r="D2" t="s">
        <v>85</v>
      </c>
      <c r="E2" s="2">
        <v>46027</v>
      </c>
      <c r="F2" t="s">
        <v>90</v>
      </c>
      <c r="G2" t="s">
        <v>92</v>
      </c>
      <c r="H2" t="s">
        <v>92</v>
      </c>
      <c r="I2" t="s">
        <v>95</v>
      </c>
      <c r="J2">
        <v>2</v>
      </c>
      <c r="K2">
        <v>24</v>
      </c>
      <c r="L2" s="3">
        <v>18500</v>
      </c>
      <c r="M2" s="3">
        <v>42000</v>
      </c>
    </row>
    <row r="3" spans="1:13" x14ac:dyDescent="0.25">
      <c r="A3" t="s">
        <v>14</v>
      </c>
      <c r="B3" t="s">
        <v>74</v>
      </c>
      <c r="C3" t="s">
        <v>83</v>
      </c>
      <c r="D3" t="s">
        <v>86</v>
      </c>
      <c r="E3" s="2">
        <v>46029</v>
      </c>
      <c r="F3" t="s">
        <v>90</v>
      </c>
      <c r="G3" t="s">
        <v>92</v>
      </c>
      <c r="H3" t="s">
        <v>92</v>
      </c>
      <c r="I3" t="s">
        <v>95</v>
      </c>
      <c r="J3">
        <v>3</v>
      </c>
      <c r="K3">
        <v>31</v>
      </c>
      <c r="L3" s="3">
        <v>24000</v>
      </c>
      <c r="M3" s="3">
        <v>68000</v>
      </c>
    </row>
    <row r="4" spans="1:13" x14ac:dyDescent="0.25">
      <c r="A4" t="s">
        <v>15</v>
      </c>
      <c r="B4" t="s">
        <v>75</v>
      </c>
      <c r="C4" t="s">
        <v>84</v>
      </c>
      <c r="D4" t="s">
        <v>87</v>
      </c>
      <c r="E4" s="2">
        <v>46032</v>
      </c>
      <c r="F4" t="s">
        <v>90</v>
      </c>
      <c r="G4" t="s">
        <v>92</v>
      </c>
      <c r="H4" t="s">
        <v>92</v>
      </c>
      <c r="I4" t="s">
        <v>95</v>
      </c>
      <c r="J4">
        <v>4</v>
      </c>
      <c r="K4">
        <v>21</v>
      </c>
      <c r="L4" s="3">
        <v>16000</v>
      </c>
      <c r="M4" s="3">
        <v>62000</v>
      </c>
    </row>
    <row r="5" spans="1:13" x14ac:dyDescent="0.25">
      <c r="A5" t="s">
        <v>16</v>
      </c>
      <c r="B5" t="s">
        <v>76</v>
      </c>
      <c r="C5" t="s">
        <v>80</v>
      </c>
      <c r="D5" t="s">
        <v>88</v>
      </c>
      <c r="E5" s="2">
        <v>46034</v>
      </c>
      <c r="F5" t="s">
        <v>90</v>
      </c>
      <c r="G5" t="s">
        <v>91</v>
      </c>
      <c r="H5" t="s">
        <v>94</v>
      </c>
      <c r="I5" t="s">
        <v>96</v>
      </c>
      <c r="J5">
        <v>1</v>
      </c>
      <c r="K5">
        <v>0</v>
      </c>
      <c r="L5" s="3">
        <v>4500</v>
      </c>
      <c r="M5" s="3">
        <v>38000</v>
      </c>
    </row>
    <row r="6" spans="1:13" x14ac:dyDescent="0.25">
      <c r="A6" t="s">
        <v>17</v>
      </c>
      <c r="B6" t="s">
        <v>77</v>
      </c>
      <c r="C6" t="s">
        <v>81</v>
      </c>
      <c r="D6" t="s">
        <v>89</v>
      </c>
      <c r="E6" s="2">
        <v>46037</v>
      </c>
      <c r="F6" t="s">
        <v>90</v>
      </c>
      <c r="G6" t="s">
        <v>92</v>
      </c>
      <c r="H6" t="s">
        <v>94</v>
      </c>
      <c r="I6" t="s">
        <v>96</v>
      </c>
      <c r="J6">
        <v>0</v>
      </c>
      <c r="K6">
        <v>0</v>
      </c>
      <c r="L6" s="3">
        <v>6000</v>
      </c>
      <c r="M6" s="3">
        <v>35000</v>
      </c>
    </row>
    <row r="7" spans="1:13" x14ac:dyDescent="0.25">
      <c r="A7" t="s">
        <v>18</v>
      </c>
      <c r="B7" t="s">
        <v>78</v>
      </c>
      <c r="C7" t="s">
        <v>82</v>
      </c>
      <c r="D7" t="s">
        <v>85</v>
      </c>
      <c r="E7" s="2">
        <v>46040</v>
      </c>
      <c r="F7" t="s">
        <v>91</v>
      </c>
      <c r="G7" t="s">
        <v>93</v>
      </c>
      <c r="H7" t="s">
        <v>94</v>
      </c>
      <c r="I7" t="s">
        <v>96</v>
      </c>
      <c r="J7">
        <v>2</v>
      </c>
      <c r="K7">
        <v>0</v>
      </c>
      <c r="L7" s="3">
        <v>2500</v>
      </c>
      <c r="M7" s="3">
        <v>40000</v>
      </c>
    </row>
    <row r="8" spans="1:13" x14ac:dyDescent="0.25">
      <c r="A8" t="s">
        <v>19</v>
      </c>
      <c r="B8" t="s">
        <v>74</v>
      </c>
      <c r="C8" t="s">
        <v>83</v>
      </c>
      <c r="D8" t="s">
        <v>87</v>
      </c>
      <c r="E8" s="2">
        <v>46043</v>
      </c>
      <c r="F8" t="s">
        <v>90</v>
      </c>
      <c r="G8" t="s">
        <v>92</v>
      </c>
      <c r="H8" t="s">
        <v>92</v>
      </c>
      <c r="I8" t="s">
        <v>95</v>
      </c>
      <c r="J8">
        <v>5</v>
      </c>
      <c r="K8">
        <v>28</v>
      </c>
      <c r="L8" s="3">
        <v>22000</v>
      </c>
      <c r="M8" s="3">
        <v>75000</v>
      </c>
    </row>
    <row r="9" spans="1:13" x14ac:dyDescent="0.25">
      <c r="A9" t="s">
        <v>20</v>
      </c>
      <c r="B9" t="s">
        <v>73</v>
      </c>
      <c r="C9" t="s">
        <v>79</v>
      </c>
      <c r="D9" t="s">
        <v>86</v>
      </c>
      <c r="E9" s="2">
        <v>46046</v>
      </c>
      <c r="F9" t="s">
        <v>90</v>
      </c>
      <c r="G9" t="s">
        <v>91</v>
      </c>
      <c r="H9" t="s">
        <v>94</v>
      </c>
      <c r="I9" t="s">
        <v>96</v>
      </c>
      <c r="J9">
        <v>1</v>
      </c>
      <c r="K9">
        <v>0</v>
      </c>
      <c r="L9" s="3">
        <v>5200</v>
      </c>
      <c r="M9" s="3">
        <v>39000</v>
      </c>
    </row>
    <row r="10" spans="1:13" x14ac:dyDescent="0.25">
      <c r="A10" t="s">
        <v>21</v>
      </c>
      <c r="B10" t="s">
        <v>76</v>
      </c>
      <c r="C10" t="s">
        <v>80</v>
      </c>
      <c r="D10" t="s">
        <v>85</v>
      </c>
      <c r="E10" s="2">
        <v>46050</v>
      </c>
      <c r="F10" t="s">
        <v>90</v>
      </c>
      <c r="G10" t="s">
        <v>92</v>
      </c>
      <c r="H10" t="s">
        <v>92</v>
      </c>
      <c r="I10" t="s">
        <v>95</v>
      </c>
      <c r="J10">
        <v>3</v>
      </c>
      <c r="K10">
        <v>35</v>
      </c>
      <c r="L10" s="3">
        <v>19500</v>
      </c>
      <c r="M10" s="3">
        <v>48000</v>
      </c>
    </row>
    <row r="11" spans="1:13" x14ac:dyDescent="0.25">
      <c r="A11" t="s">
        <v>22</v>
      </c>
      <c r="B11" t="s">
        <v>75</v>
      </c>
      <c r="C11" t="s">
        <v>84</v>
      </c>
      <c r="D11" t="s">
        <v>88</v>
      </c>
      <c r="E11" s="2">
        <v>46054</v>
      </c>
      <c r="F11" t="s">
        <v>91</v>
      </c>
      <c r="G11" t="s">
        <v>93</v>
      </c>
      <c r="H11" t="s">
        <v>94</v>
      </c>
      <c r="I11" t="s">
        <v>96</v>
      </c>
      <c r="J11">
        <v>2</v>
      </c>
      <c r="K11">
        <v>0</v>
      </c>
      <c r="L11" s="3">
        <v>3000</v>
      </c>
      <c r="M11" s="3">
        <v>45000</v>
      </c>
    </row>
    <row r="12" spans="1:13" x14ac:dyDescent="0.25">
      <c r="A12" t="s">
        <v>23</v>
      </c>
      <c r="B12" t="s">
        <v>77</v>
      </c>
      <c r="C12" t="s">
        <v>81</v>
      </c>
      <c r="D12" t="s">
        <v>85</v>
      </c>
      <c r="E12" s="2">
        <v>46057</v>
      </c>
      <c r="F12" t="s">
        <v>90</v>
      </c>
      <c r="G12" t="s">
        <v>92</v>
      </c>
      <c r="H12" t="s">
        <v>92</v>
      </c>
      <c r="I12" t="s">
        <v>95</v>
      </c>
      <c r="J12">
        <v>3</v>
      </c>
      <c r="K12">
        <v>27</v>
      </c>
      <c r="L12" s="3">
        <v>17000</v>
      </c>
      <c r="M12" s="3">
        <v>52000</v>
      </c>
    </row>
    <row r="13" spans="1:13" x14ac:dyDescent="0.25">
      <c r="A13" t="s">
        <v>24</v>
      </c>
      <c r="B13" t="s">
        <v>78</v>
      </c>
      <c r="C13" t="s">
        <v>82</v>
      </c>
      <c r="D13" t="s">
        <v>86</v>
      </c>
      <c r="E13" s="2">
        <v>46061</v>
      </c>
      <c r="F13" t="s">
        <v>90</v>
      </c>
      <c r="G13" t="s">
        <v>92</v>
      </c>
      <c r="H13" t="s">
        <v>94</v>
      </c>
      <c r="I13" t="s">
        <v>96</v>
      </c>
      <c r="J13">
        <v>2</v>
      </c>
      <c r="K13">
        <v>0</v>
      </c>
      <c r="L13" s="3">
        <v>7000</v>
      </c>
      <c r="M13" s="3">
        <v>43000</v>
      </c>
    </row>
    <row r="14" spans="1:13" x14ac:dyDescent="0.25">
      <c r="A14" t="s">
        <v>25</v>
      </c>
      <c r="B14" t="s">
        <v>73</v>
      </c>
      <c r="C14" t="s">
        <v>79</v>
      </c>
      <c r="D14" t="s">
        <v>87</v>
      </c>
      <c r="E14" s="2">
        <v>46064</v>
      </c>
      <c r="F14" t="s">
        <v>90</v>
      </c>
      <c r="G14" t="s">
        <v>92</v>
      </c>
      <c r="H14" t="s">
        <v>92</v>
      </c>
      <c r="I14" t="s">
        <v>95</v>
      </c>
      <c r="J14">
        <v>4</v>
      </c>
      <c r="K14">
        <v>22</v>
      </c>
      <c r="L14" s="3">
        <v>15000</v>
      </c>
      <c r="M14" s="3">
        <v>55000</v>
      </c>
    </row>
    <row r="15" spans="1:13" x14ac:dyDescent="0.25">
      <c r="A15" t="s">
        <v>26</v>
      </c>
      <c r="B15" t="s">
        <v>74</v>
      </c>
      <c r="C15" t="s">
        <v>83</v>
      </c>
      <c r="D15" t="s">
        <v>85</v>
      </c>
      <c r="E15" s="2">
        <v>46068</v>
      </c>
      <c r="F15" t="s">
        <v>90</v>
      </c>
      <c r="G15" t="s">
        <v>91</v>
      </c>
      <c r="H15" t="s">
        <v>94</v>
      </c>
      <c r="I15" t="s">
        <v>96</v>
      </c>
      <c r="J15">
        <v>1</v>
      </c>
      <c r="K15">
        <v>0</v>
      </c>
      <c r="L15" s="3">
        <v>48000</v>
      </c>
      <c r="M15" s="3">
        <v>58000</v>
      </c>
    </row>
    <row r="16" spans="1:13" x14ac:dyDescent="0.25">
      <c r="A16" t="s">
        <v>27</v>
      </c>
      <c r="B16" t="s">
        <v>75</v>
      </c>
      <c r="C16" t="s">
        <v>84</v>
      </c>
      <c r="D16" t="s">
        <v>86</v>
      </c>
      <c r="E16" s="2">
        <v>46071</v>
      </c>
      <c r="F16" t="s">
        <v>90</v>
      </c>
      <c r="G16" t="s">
        <v>92</v>
      </c>
      <c r="H16" t="s">
        <v>92</v>
      </c>
      <c r="I16" t="s">
        <v>97</v>
      </c>
      <c r="J16">
        <v>5</v>
      </c>
      <c r="K16">
        <v>0</v>
      </c>
      <c r="L16" s="3">
        <v>12000</v>
      </c>
      <c r="M16" s="3">
        <v>70000</v>
      </c>
    </row>
    <row r="17" spans="1:13" x14ac:dyDescent="0.25">
      <c r="A17" t="s">
        <v>28</v>
      </c>
      <c r="B17" t="s">
        <v>76</v>
      </c>
      <c r="C17" t="s">
        <v>80</v>
      </c>
      <c r="D17" t="s">
        <v>87</v>
      </c>
      <c r="E17" s="2">
        <v>46075</v>
      </c>
      <c r="F17" t="s">
        <v>90</v>
      </c>
      <c r="G17" t="s">
        <v>92</v>
      </c>
      <c r="H17" t="s">
        <v>92</v>
      </c>
      <c r="I17" t="s">
        <v>95</v>
      </c>
      <c r="J17">
        <v>2</v>
      </c>
      <c r="K17">
        <v>19</v>
      </c>
      <c r="L17" s="3">
        <v>14000</v>
      </c>
      <c r="M17" s="3">
        <v>45000</v>
      </c>
    </row>
    <row r="18" spans="1:13" x14ac:dyDescent="0.25">
      <c r="A18" t="s">
        <v>29</v>
      </c>
      <c r="B18" t="s">
        <v>77</v>
      </c>
      <c r="C18" t="s">
        <v>81</v>
      </c>
      <c r="D18" t="s">
        <v>88</v>
      </c>
      <c r="E18" s="2">
        <v>46078</v>
      </c>
      <c r="F18" t="s">
        <v>91</v>
      </c>
      <c r="G18" t="s">
        <v>93</v>
      </c>
      <c r="H18" t="s">
        <v>94</v>
      </c>
      <c r="I18" t="s">
        <v>96</v>
      </c>
      <c r="J18">
        <v>1</v>
      </c>
      <c r="K18">
        <v>0</v>
      </c>
      <c r="L18" s="3">
        <v>2200</v>
      </c>
      <c r="M18" s="3">
        <v>37000</v>
      </c>
    </row>
    <row r="19" spans="1:13" x14ac:dyDescent="0.25">
      <c r="A19" t="s">
        <v>30</v>
      </c>
      <c r="B19" t="s">
        <v>78</v>
      </c>
      <c r="C19" t="s">
        <v>82</v>
      </c>
      <c r="D19" t="s">
        <v>89</v>
      </c>
      <c r="E19" s="2">
        <v>46082</v>
      </c>
      <c r="F19" t="s">
        <v>90</v>
      </c>
      <c r="G19" t="s">
        <v>92</v>
      </c>
      <c r="H19" t="s">
        <v>92</v>
      </c>
      <c r="I19" t="s">
        <v>95</v>
      </c>
      <c r="J19">
        <v>1</v>
      </c>
      <c r="K19">
        <v>30</v>
      </c>
      <c r="L19" s="3">
        <v>18000</v>
      </c>
      <c r="M19" s="3">
        <v>41000</v>
      </c>
    </row>
    <row r="20" spans="1:13" x14ac:dyDescent="0.25">
      <c r="A20" t="s">
        <v>31</v>
      </c>
      <c r="B20" t="s">
        <v>73</v>
      </c>
      <c r="C20" t="s">
        <v>79</v>
      </c>
      <c r="D20" t="s">
        <v>85</v>
      </c>
      <c r="E20" s="2">
        <v>46085</v>
      </c>
      <c r="F20" t="s">
        <v>90</v>
      </c>
      <c r="G20" t="s">
        <v>92</v>
      </c>
      <c r="H20" t="s">
        <v>92</v>
      </c>
      <c r="I20" t="s">
        <v>95</v>
      </c>
      <c r="J20">
        <v>3</v>
      </c>
      <c r="K20">
        <v>26</v>
      </c>
      <c r="L20" s="3">
        <v>17500</v>
      </c>
      <c r="M20" s="3">
        <v>50000</v>
      </c>
    </row>
    <row r="21" spans="1:13" x14ac:dyDescent="0.25">
      <c r="A21" t="s">
        <v>32</v>
      </c>
      <c r="B21" t="s">
        <v>74</v>
      </c>
      <c r="C21" t="s">
        <v>83</v>
      </c>
      <c r="D21" t="s">
        <v>86</v>
      </c>
      <c r="E21" s="2">
        <v>46088</v>
      </c>
      <c r="F21" t="s">
        <v>91</v>
      </c>
      <c r="G21" t="s">
        <v>93</v>
      </c>
      <c r="H21" t="s">
        <v>94</v>
      </c>
      <c r="I21" t="s">
        <v>96</v>
      </c>
      <c r="J21">
        <v>2</v>
      </c>
      <c r="K21">
        <v>0</v>
      </c>
      <c r="L21" s="3">
        <v>3500</v>
      </c>
      <c r="M21" s="3">
        <v>65000</v>
      </c>
    </row>
    <row r="22" spans="1:13" x14ac:dyDescent="0.25">
      <c r="A22" t="s">
        <v>33</v>
      </c>
      <c r="B22" t="s">
        <v>75</v>
      </c>
      <c r="C22" t="s">
        <v>84</v>
      </c>
      <c r="D22" t="s">
        <v>87</v>
      </c>
      <c r="E22" s="2">
        <v>46091</v>
      </c>
      <c r="F22" t="s">
        <v>90</v>
      </c>
      <c r="G22" t="s">
        <v>92</v>
      </c>
      <c r="H22" t="s">
        <v>92</v>
      </c>
      <c r="I22" t="s">
        <v>95</v>
      </c>
      <c r="J22">
        <v>6</v>
      </c>
      <c r="K22">
        <v>18</v>
      </c>
      <c r="L22" s="3">
        <v>15500</v>
      </c>
      <c r="M22" s="3">
        <v>78000</v>
      </c>
    </row>
    <row r="23" spans="1:13" x14ac:dyDescent="0.25">
      <c r="A23" t="s">
        <v>34</v>
      </c>
      <c r="B23" t="s">
        <v>76</v>
      </c>
      <c r="C23" t="s">
        <v>80</v>
      </c>
      <c r="D23" t="s">
        <v>88</v>
      </c>
      <c r="E23" s="2">
        <v>46094</v>
      </c>
      <c r="F23" t="s">
        <v>90</v>
      </c>
      <c r="G23" t="s">
        <v>91</v>
      </c>
      <c r="H23" t="s">
        <v>94</v>
      </c>
      <c r="I23" t="s">
        <v>96</v>
      </c>
      <c r="J23">
        <v>2</v>
      </c>
      <c r="K23">
        <v>0</v>
      </c>
      <c r="L23" s="3">
        <v>5000</v>
      </c>
      <c r="M23" s="3">
        <v>42000</v>
      </c>
    </row>
    <row r="24" spans="1:13" x14ac:dyDescent="0.25">
      <c r="A24" t="s">
        <v>35</v>
      </c>
      <c r="B24" t="s">
        <v>77</v>
      </c>
      <c r="C24" t="s">
        <v>81</v>
      </c>
      <c r="D24" t="s">
        <v>85</v>
      </c>
      <c r="E24" s="2">
        <v>46098</v>
      </c>
      <c r="F24" t="s">
        <v>90</v>
      </c>
      <c r="G24" t="s">
        <v>92</v>
      </c>
      <c r="H24" t="s">
        <v>92</v>
      </c>
      <c r="I24" t="s">
        <v>95</v>
      </c>
      <c r="J24">
        <v>4</v>
      </c>
      <c r="K24">
        <v>33</v>
      </c>
      <c r="L24" s="3">
        <v>21000</v>
      </c>
      <c r="M24" s="3">
        <v>56000</v>
      </c>
    </row>
    <row r="25" spans="1:13" x14ac:dyDescent="0.25">
      <c r="A25" t="s">
        <v>36</v>
      </c>
      <c r="B25" t="s">
        <v>78</v>
      </c>
      <c r="C25" t="s">
        <v>82</v>
      </c>
      <c r="D25" t="s">
        <v>86</v>
      </c>
      <c r="E25" s="2">
        <v>46101</v>
      </c>
      <c r="F25" t="s">
        <v>90</v>
      </c>
      <c r="G25" t="s">
        <v>92</v>
      </c>
      <c r="H25" t="s">
        <v>92</v>
      </c>
      <c r="I25" t="s">
        <v>95</v>
      </c>
      <c r="J25">
        <v>3</v>
      </c>
      <c r="K25">
        <v>25</v>
      </c>
      <c r="L25" s="3">
        <v>16500</v>
      </c>
      <c r="M25" s="3">
        <v>47000</v>
      </c>
    </row>
    <row r="26" spans="1:13" x14ac:dyDescent="0.25">
      <c r="A26" t="s">
        <v>37</v>
      </c>
      <c r="B26" t="s">
        <v>73</v>
      </c>
      <c r="C26" t="s">
        <v>79</v>
      </c>
      <c r="D26" t="s">
        <v>89</v>
      </c>
      <c r="E26" s="2">
        <v>46105</v>
      </c>
      <c r="F26" t="s">
        <v>90</v>
      </c>
      <c r="G26" t="s">
        <v>91</v>
      </c>
      <c r="H26" t="s">
        <v>94</v>
      </c>
      <c r="I26" t="s">
        <v>96</v>
      </c>
      <c r="J26">
        <v>0</v>
      </c>
      <c r="K26">
        <v>0</v>
      </c>
      <c r="L26" s="3">
        <v>4500</v>
      </c>
      <c r="M26" s="3">
        <v>32000</v>
      </c>
    </row>
    <row r="27" spans="1:13" x14ac:dyDescent="0.25">
      <c r="A27" t="s">
        <v>38</v>
      </c>
      <c r="B27" t="s">
        <v>74</v>
      </c>
      <c r="C27" t="s">
        <v>83</v>
      </c>
      <c r="D27" t="s">
        <v>87</v>
      </c>
      <c r="E27" s="2">
        <v>46108</v>
      </c>
      <c r="F27" t="s">
        <v>90</v>
      </c>
      <c r="G27" t="s">
        <v>92</v>
      </c>
      <c r="H27" t="s">
        <v>92</v>
      </c>
      <c r="I27" t="s">
        <v>95</v>
      </c>
      <c r="J27">
        <v>4</v>
      </c>
      <c r="K27">
        <v>23</v>
      </c>
      <c r="L27" s="3">
        <v>20000</v>
      </c>
      <c r="M27" s="3">
        <v>72000</v>
      </c>
    </row>
    <row r="28" spans="1:13" x14ac:dyDescent="0.25">
      <c r="A28" t="s">
        <v>39</v>
      </c>
      <c r="B28" t="s">
        <v>75</v>
      </c>
      <c r="C28" t="s">
        <v>84</v>
      </c>
      <c r="D28" t="s">
        <v>85</v>
      </c>
      <c r="E28" s="2">
        <v>46111</v>
      </c>
      <c r="F28" t="s">
        <v>91</v>
      </c>
      <c r="G28" t="s">
        <v>93</v>
      </c>
      <c r="H28" t="s">
        <v>94</v>
      </c>
      <c r="I28" t="s">
        <v>96</v>
      </c>
      <c r="J28">
        <v>3</v>
      </c>
      <c r="K28">
        <v>0</v>
      </c>
      <c r="L28" s="3">
        <v>2800</v>
      </c>
      <c r="M28" s="3">
        <v>59000</v>
      </c>
    </row>
    <row r="29" spans="1:13" x14ac:dyDescent="0.25">
      <c r="A29" t="s">
        <v>40</v>
      </c>
      <c r="B29" t="s">
        <v>76</v>
      </c>
      <c r="C29" t="s">
        <v>80</v>
      </c>
      <c r="D29" t="s">
        <v>86</v>
      </c>
      <c r="E29" s="2">
        <v>46115</v>
      </c>
      <c r="F29" t="s">
        <v>90</v>
      </c>
      <c r="G29" t="s">
        <v>92</v>
      </c>
      <c r="H29" t="s">
        <v>92</v>
      </c>
      <c r="I29" t="s">
        <v>95</v>
      </c>
      <c r="J29">
        <v>2</v>
      </c>
      <c r="K29">
        <v>29</v>
      </c>
      <c r="L29" s="3">
        <v>17500</v>
      </c>
      <c r="M29" s="3">
        <v>44000</v>
      </c>
    </row>
    <row r="30" spans="1:13" x14ac:dyDescent="0.25">
      <c r="A30" t="s">
        <v>41</v>
      </c>
      <c r="B30" t="s">
        <v>77</v>
      </c>
      <c r="C30" t="s">
        <v>81</v>
      </c>
      <c r="D30" t="s">
        <v>87</v>
      </c>
      <c r="E30" s="2">
        <v>46118</v>
      </c>
      <c r="F30" t="s">
        <v>90</v>
      </c>
      <c r="G30" t="s">
        <v>92</v>
      </c>
      <c r="H30" t="s">
        <v>92</v>
      </c>
      <c r="I30" t="s">
        <v>96</v>
      </c>
      <c r="J30">
        <v>5</v>
      </c>
      <c r="K30">
        <v>20</v>
      </c>
      <c r="L30" s="3">
        <v>15000</v>
      </c>
      <c r="M30" s="3">
        <v>61000</v>
      </c>
    </row>
    <row r="31" spans="1:13" x14ac:dyDescent="0.25">
      <c r="A31" t="s">
        <v>42</v>
      </c>
      <c r="B31" t="s">
        <v>78</v>
      </c>
      <c r="C31" t="s">
        <v>82</v>
      </c>
      <c r="D31" t="s">
        <v>88</v>
      </c>
      <c r="E31" s="2">
        <v>46122</v>
      </c>
      <c r="F31" t="s">
        <v>91</v>
      </c>
      <c r="G31" t="s">
        <v>93</v>
      </c>
      <c r="H31" t="s">
        <v>94</v>
      </c>
      <c r="I31" t="s">
        <v>96</v>
      </c>
      <c r="J31">
        <v>1</v>
      </c>
      <c r="K31">
        <v>0</v>
      </c>
      <c r="L31" s="3">
        <v>2500</v>
      </c>
      <c r="M31" s="3">
        <v>39000</v>
      </c>
    </row>
    <row r="32" spans="1:13" x14ac:dyDescent="0.25">
      <c r="A32" t="s">
        <v>43</v>
      </c>
      <c r="B32" t="s">
        <v>73</v>
      </c>
      <c r="C32" t="s">
        <v>79</v>
      </c>
      <c r="D32" t="s">
        <v>85</v>
      </c>
      <c r="E32" s="2">
        <v>46125</v>
      </c>
      <c r="F32" t="s">
        <v>90</v>
      </c>
      <c r="G32" t="s">
        <v>92</v>
      </c>
      <c r="H32" t="s">
        <v>92</v>
      </c>
      <c r="I32" t="s">
        <v>95</v>
      </c>
      <c r="J32">
        <v>2</v>
      </c>
      <c r="K32">
        <v>32</v>
      </c>
      <c r="L32" s="3">
        <v>19000</v>
      </c>
      <c r="M32" s="3">
        <v>46000</v>
      </c>
    </row>
    <row r="33" spans="1:13" x14ac:dyDescent="0.25">
      <c r="A33" t="s">
        <v>44</v>
      </c>
      <c r="B33" t="s">
        <v>74</v>
      </c>
      <c r="C33" t="s">
        <v>83</v>
      </c>
      <c r="D33" t="s">
        <v>86</v>
      </c>
      <c r="E33" s="2">
        <v>46128</v>
      </c>
      <c r="F33" t="s">
        <v>90</v>
      </c>
      <c r="G33" t="s">
        <v>92</v>
      </c>
      <c r="H33" t="s">
        <v>94</v>
      </c>
      <c r="I33" t="s">
        <v>96</v>
      </c>
      <c r="J33">
        <v>3</v>
      </c>
      <c r="K33">
        <v>0</v>
      </c>
      <c r="L33" s="3">
        <v>8500</v>
      </c>
      <c r="M33" s="3">
        <v>69000</v>
      </c>
    </row>
    <row r="34" spans="1:13" x14ac:dyDescent="0.25">
      <c r="A34" t="s">
        <v>45</v>
      </c>
      <c r="B34" t="s">
        <v>75</v>
      </c>
      <c r="C34" t="s">
        <v>84</v>
      </c>
      <c r="D34" t="s">
        <v>87</v>
      </c>
      <c r="E34" s="2">
        <v>46132</v>
      </c>
      <c r="F34" t="s">
        <v>90</v>
      </c>
      <c r="G34" t="s">
        <v>92</v>
      </c>
      <c r="H34" t="s">
        <v>92</v>
      </c>
      <c r="I34" t="s">
        <v>95</v>
      </c>
      <c r="J34">
        <v>4</v>
      </c>
      <c r="K34">
        <v>24</v>
      </c>
      <c r="L34" s="3">
        <v>17000</v>
      </c>
      <c r="M34" s="3">
        <v>65000</v>
      </c>
    </row>
    <row r="35" spans="1:13" x14ac:dyDescent="0.25">
      <c r="A35" t="s">
        <v>46</v>
      </c>
      <c r="B35" t="s">
        <v>76</v>
      </c>
      <c r="C35" t="s">
        <v>80</v>
      </c>
      <c r="D35" t="s">
        <v>85</v>
      </c>
      <c r="E35" s="2">
        <v>46135</v>
      </c>
      <c r="F35" t="s">
        <v>91</v>
      </c>
      <c r="G35" t="s">
        <v>93</v>
      </c>
      <c r="H35" t="s">
        <v>94</v>
      </c>
      <c r="I35" t="s">
        <v>96</v>
      </c>
      <c r="J35">
        <v>1</v>
      </c>
      <c r="K35">
        <v>0</v>
      </c>
      <c r="L35" s="3">
        <v>2200</v>
      </c>
      <c r="M35" s="3">
        <v>36000</v>
      </c>
    </row>
    <row r="36" spans="1:13" x14ac:dyDescent="0.25">
      <c r="A36" t="s">
        <v>47</v>
      </c>
      <c r="B36" t="s">
        <v>77</v>
      </c>
      <c r="C36" t="s">
        <v>81</v>
      </c>
      <c r="D36" t="s">
        <v>89</v>
      </c>
      <c r="E36" s="2">
        <v>46139</v>
      </c>
      <c r="F36" t="s">
        <v>90</v>
      </c>
      <c r="G36" t="s">
        <v>92</v>
      </c>
      <c r="H36" t="s">
        <v>92</v>
      </c>
      <c r="I36" t="s">
        <v>95</v>
      </c>
      <c r="J36">
        <v>1</v>
      </c>
      <c r="K36">
        <v>36</v>
      </c>
      <c r="L36" s="3">
        <v>23000</v>
      </c>
      <c r="M36" s="3">
        <v>40000</v>
      </c>
    </row>
    <row r="37" spans="1:13" x14ac:dyDescent="0.25">
      <c r="A37" t="s">
        <v>48</v>
      </c>
      <c r="B37" t="s">
        <v>78</v>
      </c>
      <c r="C37" t="s">
        <v>82</v>
      </c>
      <c r="D37" t="s">
        <v>86</v>
      </c>
      <c r="E37" s="2">
        <v>46142</v>
      </c>
      <c r="F37" t="s">
        <v>90</v>
      </c>
      <c r="G37" t="s">
        <v>91</v>
      </c>
      <c r="H37" t="s">
        <v>94</v>
      </c>
      <c r="I37" t="s">
        <v>96</v>
      </c>
      <c r="J37">
        <v>2</v>
      </c>
      <c r="K37">
        <v>0</v>
      </c>
      <c r="L37" s="3">
        <v>4800</v>
      </c>
      <c r="M37" s="3">
        <v>45000</v>
      </c>
    </row>
    <row r="38" spans="1:13" x14ac:dyDescent="0.25">
      <c r="A38" t="s">
        <v>49</v>
      </c>
      <c r="B38" t="s">
        <v>73</v>
      </c>
      <c r="C38" t="s">
        <v>79</v>
      </c>
      <c r="D38" t="s">
        <v>87</v>
      </c>
      <c r="E38" s="2">
        <v>46146</v>
      </c>
      <c r="F38" t="s">
        <v>90</v>
      </c>
      <c r="G38" t="s">
        <v>92</v>
      </c>
      <c r="H38" t="s">
        <v>92</v>
      </c>
      <c r="I38" t="s">
        <v>95</v>
      </c>
      <c r="J38">
        <v>5</v>
      </c>
      <c r="K38">
        <v>21</v>
      </c>
      <c r="L38" s="3">
        <v>16000</v>
      </c>
      <c r="M38" s="3">
        <v>58000</v>
      </c>
    </row>
    <row r="39" spans="1:13" x14ac:dyDescent="0.25">
      <c r="A39" t="s">
        <v>50</v>
      </c>
      <c r="B39" t="s">
        <v>74</v>
      </c>
      <c r="C39" t="s">
        <v>83</v>
      </c>
      <c r="D39" t="s">
        <v>85</v>
      </c>
      <c r="E39" s="2">
        <v>46149</v>
      </c>
      <c r="F39" t="s">
        <v>90</v>
      </c>
      <c r="G39" t="s">
        <v>92</v>
      </c>
      <c r="H39" t="s">
        <v>92</v>
      </c>
      <c r="I39" t="s">
        <v>95</v>
      </c>
      <c r="J39">
        <v>6</v>
      </c>
      <c r="K39">
        <v>27</v>
      </c>
      <c r="L39" s="3">
        <v>21500</v>
      </c>
      <c r="M39" s="3">
        <v>82000</v>
      </c>
    </row>
    <row r="40" spans="1:13" x14ac:dyDescent="0.25">
      <c r="A40" t="s">
        <v>51</v>
      </c>
      <c r="B40" t="s">
        <v>75</v>
      </c>
      <c r="C40" t="s">
        <v>84</v>
      </c>
      <c r="D40" t="s">
        <v>88</v>
      </c>
      <c r="E40" s="2">
        <v>46152</v>
      </c>
      <c r="F40" t="s">
        <v>90</v>
      </c>
      <c r="G40" t="s">
        <v>91</v>
      </c>
      <c r="H40" t="s">
        <v>94</v>
      </c>
      <c r="I40" t="s">
        <v>96</v>
      </c>
      <c r="J40">
        <v>2</v>
      </c>
      <c r="K40">
        <v>0</v>
      </c>
      <c r="L40" s="3">
        <v>5200</v>
      </c>
      <c r="M40" s="3">
        <v>48000</v>
      </c>
    </row>
    <row r="41" spans="1:13" x14ac:dyDescent="0.25">
      <c r="A41" t="s">
        <v>52</v>
      </c>
      <c r="B41" t="s">
        <v>76</v>
      </c>
      <c r="C41" t="s">
        <v>80</v>
      </c>
      <c r="D41" t="s">
        <v>86</v>
      </c>
      <c r="E41" s="2">
        <v>46156</v>
      </c>
      <c r="F41" t="s">
        <v>90</v>
      </c>
      <c r="G41" t="s">
        <v>92</v>
      </c>
      <c r="H41" t="s">
        <v>92</v>
      </c>
      <c r="I41" t="s">
        <v>95</v>
      </c>
      <c r="J41">
        <v>3</v>
      </c>
      <c r="K41">
        <v>30</v>
      </c>
      <c r="L41" s="3">
        <v>18500</v>
      </c>
      <c r="M41" s="3">
        <v>51000</v>
      </c>
    </row>
    <row r="42" spans="1:13" x14ac:dyDescent="0.25">
      <c r="A42" t="s">
        <v>53</v>
      </c>
      <c r="B42" t="s">
        <v>77</v>
      </c>
      <c r="C42" t="s">
        <v>81</v>
      </c>
      <c r="D42" t="s">
        <v>87</v>
      </c>
      <c r="E42" s="2">
        <v>46159</v>
      </c>
      <c r="F42" t="s">
        <v>90</v>
      </c>
      <c r="G42" t="s">
        <v>92</v>
      </c>
      <c r="H42" t="s">
        <v>92</v>
      </c>
      <c r="I42" t="s">
        <v>97</v>
      </c>
      <c r="J42">
        <v>4</v>
      </c>
      <c r="K42">
        <v>0</v>
      </c>
      <c r="L42" s="3">
        <v>11500</v>
      </c>
      <c r="M42" s="3">
        <v>60000</v>
      </c>
    </row>
    <row r="43" spans="1:13" x14ac:dyDescent="0.25">
      <c r="A43" t="s">
        <v>54</v>
      </c>
      <c r="B43" t="s">
        <v>78</v>
      </c>
      <c r="C43" t="s">
        <v>82</v>
      </c>
      <c r="D43" t="s">
        <v>85</v>
      </c>
      <c r="E43" s="2">
        <v>46162</v>
      </c>
      <c r="F43" t="s">
        <v>91</v>
      </c>
      <c r="G43" t="s">
        <v>93</v>
      </c>
      <c r="H43" t="s">
        <v>94</v>
      </c>
      <c r="I43" t="s">
        <v>96</v>
      </c>
      <c r="J43">
        <v>1</v>
      </c>
      <c r="K43">
        <v>0</v>
      </c>
      <c r="L43" s="3">
        <v>2600</v>
      </c>
      <c r="M43" s="3">
        <v>38000</v>
      </c>
    </row>
    <row r="44" spans="1:13" x14ac:dyDescent="0.25">
      <c r="A44" t="s">
        <v>55</v>
      </c>
      <c r="B44" t="s">
        <v>73</v>
      </c>
      <c r="C44" t="s">
        <v>79</v>
      </c>
      <c r="D44" t="s">
        <v>86</v>
      </c>
      <c r="E44" s="2">
        <v>46166</v>
      </c>
      <c r="F44" t="s">
        <v>90</v>
      </c>
      <c r="G44" t="s">
        <v>92</v>
      </c>
      <c r="H44" t="s">
        <v>92</v>
      </c>
      <c r="I44" t="s">
        <v>95</v>
      </c>
      <c r="J44">
        <v>3</v>
      </c>
      <c r="K44">
        <v>25</v>
      </c>
      <c r="L44" s="3">
        <v>16500</v>
      </c>
      <c r="M44" s="3">
        <v>52000</v>
      </c>
    </row>
    <row r="45" spans="1:13" x14ac:dyDescent="0.25">
      <c r="A45" t="s">
        <v>56</v>
      </c>
      <c r="B45" t="s">
        <v>74</v>
      </c>
      <c r="C45" t="s">
        <v>83</v>
      </c>
      <c r="D45" t="s">
        <v>87</v>
      </c>
      <c r="E45" s="2">
        <v>46169</v>
      </c>
      <c r="F45" t="s">
        <v>90</v>
      </c>
      <c r="G45" t="s">
        <v>91</v>
      </c>
      <c r="H45" t="s">
        <v>94</v>
      </c>
      <c r="I45" t="s">
        <v>96</v>
      </c>
      <c r="J45">
        <v>2</v>
      </c>
      <c r="K45">
        <v>0</v>
      </c>
      <c r="L45" s="3">
        <v>5500</v>
      </c>
      <c r="M45" s="3">
        <v>64000</v>
      </c>
    </row>
    <row r="46" spans="1:13" x14ac:dyDescent="0.25">
      <c r="A46" t="s">
        <v>57</v>
      </c>
      <c r="B46" t="s">
        <v>75</v>
      </c>
      <c r="C46" t="s">
        <v>84</v>
      </c>
      <c r="D46" t="s">
        <v>85</v>
      </c>
      <c r="E46" s="2">
        <v>46172</v>
      </c>
      <c r="F46" t="s">
        <v>90</v>
      </c>
      <c r="G46" t="s">
        <v>92</v>
      </c>
      <c r="H46" t="s">
        <v>92</v>
      </c>
      <c r="I46" t="s">
        <v>95</v>
      </c>
      <c r="J46">
        <v>5</v>
      </c>
      <c r="K46">
        <v>20</v>
      </c>
      <c r="L46" s="3">
        <v>14500</v>
      </c>
      <c r="M46" s="3">
        <v>73000</v>
      </c>
    </row>
    <row r="47" spans="1:13" x14ac:dyDescent="0.25">
      <c r="A47" t="s">
        <v>58</v>
      </c>
      <c r="B47" t="s">
        <v>76</v>
      </c>
      <c r="C47" t="s">
        <v>80</v>
      </c>
      <c r="D47" t="s">
        <v>88</v>
      </c>
      <c r="E47" s="2">
        <v>46176</v>
      </c>
      <c r="F47" t="s">
        <v>90</v>
      </c>
      <c r="G47" t="s">
        <v>92</v>
      </c>
      <c r="H47" t="s">
        <v>94</v>
      </c>
      <c r="I47" t="s">
        <v>96</v>
      </c>
      <c r="J47">
        <v>2</v>
      </c>
      <c r="K47">
        <v>0</v>
      </c>
      <c r="L47" s="3">
        <v>6500</v>
      </c>
      <c r="M47" s="3">
        <v>46000</v>
      </c>
    </row>
    <row r="48" spans="1:13" x14ac:dyDescent="0.25">
      <c r="A48" t="s">
        <v>59</v>
      </c>
      <c r="B48" t="s">
        <v>77</v>
      </c>
      <c r="C48" t="s">
        <v>81</v>
      </c>
      <c r="D48" t="s">
        <v>85</v>
      </c>
      <c r="E48" s="2">
        <v>46179</v>
      </c>
      <c r="F48" t="s">
        <v>91</v>
      </c>
      <c r="G48" t="s">
        <v>93</v>
      </c>
      <c r="H48" t="s">
        <v>94</v>
      </c>
      <c r="I48" t="s">
        <v>96</v>
      </c>
      <c r="J48">
        <v>1</v>
      </c>
      <c r="K48">
        <v>0</v>
      </c>
      <c r="L48" s="3">
        <v>2100</v>
      </c>
      <c r="M48" s="3">
        <v>39000</v>
      </c>
    </row>
    <row r="49" spans="1:13" x14ac:dyDescent="0.25">
      <c r="A49" t="s">
        <v>60</v>
      </c>
      <c r="B49" t="s">
        <v>78</v>
      </c>
      <c r="C49" t="s">
        <v>82</v>
      </c>
      <c r="D49" t="s">
        <v>89</v>
      </c>
      <c r="E49" s="2">
        <v>46183</v>
      </c>
      <c r="F49" t="s">
        <v>90</v>
      </c>
      <c r="G49" t="s">
        <v>92</v>
      </c>
      <c r="H49" t="s">
        <v>92</v>
      </c>
      <c r="I49" t="s">
        <v>95</v>
      </c>
      <c r="J49">
        <v>2</v>
      </c>
      <c r="K49">
        <v>28</v>
      </c>
      <c r="L49" s="3">
        <v>17500</v>
      </c>
      <c r="M49" s="3">
        <v>43000</v>
      </c>
    </row>
    <row r="50" spans="1:13" x14ac:dyDescent="0.25">
      <c r="A50" t="s">
        <v>61</v>
      </c>
      <c r="B50" t="s">
        <v>73</v>
      </c>
      <c r="C50" t="s">
        <v>79</v>
      </c>
      <c r="D50" t="s">
        <v>87</v>
      </c>
      <c r="E50" s="2">
        <v>46186</v>
      </c>
      <c r="F50" t="s">
        <v>90</v>
      </c>
      <c r="G50" t="s">
        <v>92</v>
      </c>
      <c r="H50" t="s">
        <v>92</v>
      </c>
      <c r="I50" t="s">
        <v>95</v>
      </c>
      <c r="J50">
        <v>4</v>
      </c>
      <c r="K50">
        <v>23</v>
      </c>
      <c r="L50" s="3">
        <v>15500</v>
      </c>
      <c r="M50" s="3">
        <v>57000</v>
      </c>
    </row>
    <row r="51" spans="1:13" x14ac:dyDescent="0.25">
      <c r="A51" t="s">
        <v>62</v>
      </c>
      <c r="B51" t="s">
        <v>74</v>
      </c>
      <c r="C51" t="s">
        <v>83</v>
      </c>
      <c r="D51" t="s">
        <v>86</v>
      </c>
      <c r="E51" s="2">
        <v>46189</v>
      </c>
      <c r="F51" t="s">
        <v>90</v>
      </c>
      <c r="G51" t="s">
        <v>92</v>
      </c>
      <c r="H51" t="s">
        <v>92</v>
      </c>
      <c r="I51" t="s">
        <v>95</v>
      </c>
      <c r="J51">
        <v>3</v>
      </c>
      <c r="K51">
        <v>34</v>
      </c>
      <c r="L51" s="3">
        <v>24500</v>
      </c>
      <c r="M51" s="3">
        <v>71000</v>
      </c>
    </row>
    <row r="52" spans="1:13" x14ac:dyDescent="0.25">
      <c r="A52" t="s">
        <v>63</v>
      </c>
      <c r="B52" t="s">
        <v>75</v>
      </c>
      <c r="C52" t="s">
        <v>84</v>
      </c>
      <c r="D52" t="s">
        <v>87</v>
      </c>
      <c r="E52" s="2">
        <v>46193</v>
      </c>
      <c r="F52" t="s">
        <v>91</v>
      </c>
      <c r="G52" t="s">
        <v>93</v>
      </c>
      <c r="H52" t="s">
        <v>94</v>
      </c>
      <c r="I52" t="s">
        <v>96</v>
      </c>
      <c r="J52">
        <v>2</v>
      </c>
      <c r="K52">
        <v>0</v>
      </c>
      <c r="L52" s="3">
        <v>3000</v>
      </c>
      <c r="M52" s="3">
        <v>50000</v>
      </c>
    </row>
    <row r="53" spans="1:13" x14ac:dyDescent="0.25">
      <c r="A53" t="s">
        <v>64</v>
      </c>
      <c r="B53" t="s">
        <v>76</v>
      </c>
      <c r="C53" t="s">
        <v>80</v>
      </c>
      <c r="D53" t="s">
        <v>85</v>
      </c>
      <c r="E53" s="2">
        <v>46196</v>
      </c>
      <c r="F53" t="s">
        <v>90</v>
      </c>
      <c r="G53" t="s">
        <v>92</v>
      </c>
      <c r="H53" t="s">
        <v>92</v>
      </c>
      <c r="I53" t="s">
        <v>95</v>
      </c>
      <c r="J53">
        <v>4</v>
      </c>
      <c r="K53">
        <v>26</v>
      </c>
      <c r="L53" s="3">
        <v>18000</v>
      </c>
      <c r="M53" s="3">
        <v>54000</v>
      </c>
    </row>
    <row r="54" spans="1:13" x14ac:dyDescent="0.25">
      <c r="A54" t="s">
        <v>65</v>
      </c>
      <c r="B54" t="s">
        <v>77</v>
      </c>
      <c r="C54" t="s">
        <v>81</v>
      </c>
      <c r="D54" t="s">
        <v>86</v>
      </c>
      <c r="E54" s="2">
        <v>46199</v>
      </c>
      <c r="F54" t="s">
        <v>90</v>
      </c>
      <c r="G54" t="s">
        <v>92</v>
      </c>
      <c r="H54" t="s">
        <v>92</v>
      </c>
      <c r="I54" t="s">
        <v>95</v>
      </c>
      <c r="J54">
        <v>2</v>
      </c>
      <c r="K54">
        <v>22</v>
      </c>
      <c r="L54" s="3">
        <v>15000</v>
      </c>
      <c r="M54" s="3">
        <v>49000</v>
      </c>
    </row>
    <row r="55" spans="1:13" x14ac:dyDescent="0.25">
      <c r="A55" t="s">
        <v>66</v>
      </c>
      <c r="B55" t="s">
        <v>78</v>
      </c>
      <c r="C55" t="s">
        <v>82</v>
      </c>
      <c r="D55" t="s">
        <v>88</v>
      </c>
      <c r="E55" s="2">
        <v>46203</v>
      </c>
      <c r="F55" t="s">
        <v>90</v>
      </c>
      <c r="G55" t="s">
        <v>91</v>
      </c>
      <c r="H55" t="s">
        <v>94</v>
      </c>
      <c r="I55" t="s">
        <v>96</v>
      </c>
      <c r="J55">
        <v>1</v>
      </c>
      <c r="K55">
        <v>0</v>
      </c>
      <c r="L55" s="3">
        <v>4600</v>
      </c>
      <c r="M55" s="3">
        <v>41000</v>
      </c>
    </row>
    <row r="56" spans="1:13" x14ac:dyDescent="0.25">
      <c r="A56" t="s">
        <v>67</v>
      </c>
      <c r="B56" t="s">
        <v>73</v>
      </c>
      <c r="C56" t="s">
        <v>79</v>
      </c>
      <c r="D56" t="s">
        <v>89</v>
      </c>
      <c r="E56" s="2">
        <v>46206</v>
      </c>
      <c r="F56" t="s">
        <v>90</v>
      </c>
      <c r="G56" t="s">
        <v>92</v>
      </c>
      <c r="H56" t="s">
        <v>92</v>
      </c>
      <c r="I56" t="s">
        <v>95</v>
      </c>
      <c r="J56">
        <v>1</v>
      </c>
      <c r="K56">
        <v>29</v>
      </c>
      <c r="L56" s="3">
        <v>17000</v>
      </c>
      <c r="M56" s="3">
        <v>38000</v>
      </c>
    </row>
    <row r="57" spans="1:13" x14ac:dyDescent="0.25">
      <c r="A57" t="s">
        <v>68</v>
      </c>
      <c r="B57" t="s">
        <v>74</v>
      </c>
      <c r="C57" t="s">
        <v>83</v>
      </c>
      <c r="D57" t="s">
        <v>85</v>
      </c>
      <c r="E57" s="2">
        <v>46209</v>
      </c>
      <c r="F57" t="s">
        <v>91</v>
      </c>
      <c r="G57" t="s">
        <v>93</v>
      </c>
      <c r="H57" t="s">
        <v>94</v>
      </c>
      <c r="I57" t="s">
        <v>96</v>
      </c>
      <c r="J57">
        <v>4</v>
      </c>
      <c r="K57">
        <v>0</v>
      </c>
      <c r="L57" s="3">
        <v>3200</v>
      </c>
      <c r="M57" s="3">
        <v>76000</v>
      </c>
    </row>
    <row r="58" spans="1:13" x14ac:dyDescent="0.25">
      <c r="A58" t="s">
        <v>69</v>
      </c>
      <c r="B58" t="s">
        <v>75</v>
      </c>
      <c r="C58" t="s">
        <v>84</v>
      </c>
      <c r="D58" t="s">
        <v>86</v>
      </c>
      <c r="E58" s="2">
        <v>46213</v>
      </c>
      <c r="F58" t="s">
        <v>90</v>
      </c>
      <c r="G58" t="s">
        <v>92</v>
      </c>
      <c r="H58" t="s">
        <v>92</v>
      </c>
      <c r="I58" t="s">
        <v>95</v>
      </c>
      <c r="J58">
        <v>3</v>
      </c>
      <c r="K58">
        <v>24</v>
      </c>
      <c r="L58" s="3">
        <v>16500</v>
      </c>
      <c r="M58" s="3">
        <v>61000</v>
      </c>
    </row>
    <row r="59" spans="1:13" x14ac:dyDescent="0.25">
      <c r="A59" t="s">
        <v>70</v>
      </c>
      <c r="B59" t="s">
        <v>76</v>
      </c>
      <c r="C59" t="s">
        <v>80</v>
      </c>
      <c r="D59" t="s">
        <v>87</v>
      </c>
      <c r="E59" s="2">
        <v>46216</v>
      </c>
      <c r="F59" t="s">
        <v>90</v>
      </c>
      <c r="G59" t="s">
        <v>92</v>
      </c>
      <c r="H59" t="s">
        <v>92</v>
      </c>
      <c r="I59" t="s">
        <v>95</v>
      </c>
      <c r="J59">
        <v>5</v>
      </c>
      <c r="K59">
        <v>21</v>
      </c>
      <c r="L59" s="3">
        <v>15500</v>
      </c>
      <c r="M59" s="3">
        <v>63000</v>
      </c>
    </row>
    <row r="60" spans="1:13" x14ac:dyDescent="0.25">
      <c r="A60" t="s">
        <v>71</v>
      </c>
      <c r="B60" t="s">
        <v>77</v>
      </c>
      <c r="C60" t="s">
        <v>81</v>
      </c>
      <c r="D60" t="s">
        <v>85</v>
      </c>
      <c r="E60" s="2">
        <v>46219</v>
      </c>
      <c r="F60" t="s">
        <v>90</v>
      </c>
      <c r="G60" t="s">
        <v>91</v>
      </c>
      <c r="H60" t="s">
        <v>94</v>
      </c>
      <c r="I60" t="s">
        <v>96</v>
      </c>
      <c r="J60">
        <v>2</v>
      </c>
      <c r="K60">
        <v>0</v>
      </c>
      <c r="L60" s="3">
        <v>5200</v>
      </c>
      <c r="M60" s="3">
        <v>45000</v>
      </c>
    </row>
    <row r="61" spans="1:13" x14ac:dyDescent="0.25">
      <c r="A61" t="s">
        <v>72</v>
      </c>
      <c r="B61" t="s">
        <v>78</v>
      </c>
      <c r="C61" t="s">
        <v>82</v>
      </c>
      <c r="D61" t="s">
        <v>86</v>
      </c>
      <c r="E61" s="2">
        <v>46223</v>
      </c>
      <c r="F61" t="s">
        <v>90</v>
      </c>
      <c r="G61" t="s">
        <v>92</v>
      </c>
      <c r="H61" t="s">
        <v>92</v>
      </c>
      <c r="I61" t="s">
        <v>95</v>
      </c>
      <c r="J61">
        <v>3</v>
      </c>
      <c r="K61">
        <v>27</v>
      </c>
      <c r="L61" s="3">
        <v>18000</v>
      </c>
      <c r="M61" s="3">
        <v>48000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CBBD-7599-4B1F-9F83-862637074713}">
  <dimension ref="A1:L25"/>
  <sheetViews>
    <sheetView showGridLines="0" tabSelected="1" workbookViewId="0">
      <pane ySplit="1" topLeftCell="A2" activePane="bottomLeft" state="frozen"/>
      <selection pane="bottomLeft" sqref="A1:L1"/>
    </sheetView>
  </sheetViews>
  <sheetFormatPr defaultRowHeight="15" x14ac:dyDescent="0.25"/>
  <cols>
    <col min="1" max="1" width="52.28515625" style="6" bestFit="1" customWidth="1"/>
    <col min="2" max="2" width="18.5703125" style="11" bestFit="1" customWidth="1"/>
    <col min="3" max="3" width="9.140625" style="11"/>
    <col min="4" max="4" width="21.140625" style="6" bestFit="1" customWidth="1"/>
    <col min="5" max="5" width="11.5703125" style="11" bestFit="1" customWidth="1"/>
    <col min="6" max="6" width="9.140625" style="11" bestFit="1" customWidth="1"/>
    <col min="7" max="7" width="7" style="11" bestFit="1" customWidth="1"/>
    <col min="8" max="8" width="9.140625" style="11"/>
    <col min="9" max="9" width="22.28515625" style="6" bestFit="1" customWidth="1"/>
    <col min="10" max="10" width="10.85546875" style="11" bestFit="1" customWidth="1"/>
    <col min="11" max="11" width="8.7109375" style="11" bestFit="1" customWidth="1"/>
    <col min="12" max="12" width="9.140625" style="11"/>
  </cols>
  <sheetData>
    <row r="1" spans="1:12" ht="20.25" x14ac:dyDescent="0.3">
      <c r="A1" s="15" t="s">
        <v>98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6" t="s">
        <v>101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4"/>
      <c r="B3" s="7"/>
      <c r="C3" s="7"/>
      <c r="D3" s="4"/>
      <c r="E3" s="12"/>
      <c r="F3" s="12"/>
      <c r="G3" s="12"/>
      <c r="H3" s="12"/>
      <c r="I3" s="4"/>
      <c r="J3" s="12"/>
      <c r="K3" s="12"/>
      <c r="L3" s="12"/>
    </row>
    <row r="4" spans="1:12" x14ac:dyDescent="0.25">
      <c r="A4" s="17" t="s">
        <v>102</v>
      </c>
      <c r="B4" s="17"/>
      <c r="C4" s="7"/>
      <c r="D4" s="14" t="s">
        <v>99</v>
      </c>
      <c r="E4" s="14"/>
      <c r="F4" s="14"/>
      <c r="G4" s="14"/>
      <c r="H4" s="7"/>
      <c r="I4" s="14" t="s">
        <v>114</v>
      </c>
      <c r="J4" s="14"/>
      <c r="K4" s="14"/>
      <c r="L4" s="14"/>
    </row>
    <row r="5" spans="1:12" x14ac:dyDescent="0.25">
      <c r="A5" s="5" t="s">
        <v>103</v>
      </c>
      <c r="B5" s="7">
        <f>COUNTA(Raw_Data!A2:A61)</f>
        <v>60</v>
      </c>
      <c r="C5" s="7"/>
      <c r="D5" s="5" t="s">
        <v>3</v>
      </c>
      <c r="E5" s="7" t="s">
        <v>100</v>
      </c>
      <c r="F5" s="7" t="s">
        <v>92</v>
      </c>
      <c r="G5" s="7" t="s">
        <v>95</v>
      </c>
      <c r="H5" s="7"/>
      <c r="I5" s="5" t="s">
        <v>1</v>
      </c>
      <c r="J5" s="7" t="s">
        <v>100</v>
      </c>
      <c r="K5" s="7" t="s">
        <v>92</v>
      </c>
      <c r="L5" s="7" t="s">
        <v>95</v>
      </c>
    </row>
    <row r="6" spans="1:12" x14ac:dyDescent="0.25">
      <c r="A6" s="5" t="s">
        <v>104</v>
      </c>
      <c r="B6" s="7">
        <f>COUNTIF(Raw_Data!F2:F61,"Shortlisted")</f>
        <v>49</v>
      </c>
      <c r="C6" s="7"/>
      <c r="D6" s="5" t="s">
        <v>85</v>
      </c>
      <c r="E6" s="7">
        <f>COUNTIF(Raw_Data!D$2:D$61,D6)</f>
        <v>17</v>
      </c>
      <c r="F6" s="7">
        <f>COUNTIFS(Raw_Data!D$2:D$61,D6,Raw_Data!H$2:H$61,"Selected")</f>
        <v>9</v>
      </c>
      <c r="G6" s="7">
        <f>COUNTIFS(Raw_Data!D$2:D$61,D6,Raw_Data!I$2:I$61,"Joined")</f>
        <v>9</v>
      </c>
      <c r="H6" s="7"/>
      <c r="I6" s="5" t="s">
        <v>73</v>
      </c>
      <c r="J6" s="7">
        <f>COUNTIF(Raw_Data!B$2:B$61,I6)</f>
        <v>10</v>
      </c>
      <c r="K6" s="7">
        <f>COUNTIFS(Raw_Data!B$2:B$61,I6,Raw_Data!H$2:H$61,"Selected")</f>
        <v>8</v>
      </c>
      <c r="L6" s="7">
        <f>COUNTIFS(Raw_Data!B$2:B$61,I6,Raw_Data!I$2:I$61,"Joined")</f>
        <v>8</v>
      </c>
    </row>
    <row r="7" spans="1:12" x14ac:dyDescent="0.25">
      <c r="A7" s="5" t="s">
        <v>105</v>
      </c>
      <c r="B7" s="7">
        <f>COUNTIF(Raw_Data!G2:G61,"&lt;&gt;Not Conducted")</f>
        <v>49</v>
      </c>
      <c r="C7" s="7"/>
      <c r="D7" s="5" t="s">
        <v>86</v>
      </c>
      <c r="E7" s="7">
        <f>COUNTIF(Raw_Data!D$2:D$61,D7)</f>
        <v>15</v>
      </c>
      <c r="F7" s="7">
        <f>COUNTIFS(Raw_Data!D$2:D$61,D7,Raw_Data!H$2:H$61,"Selected")</f>
        <v>10</v>
      </c>
      <c r="G7" s="7">
        <f>COUNTIFS(Raw_Data!D$2:D$61,D7,Raw_Data!I$2:I$61,"Joined")</f>
        <v>9</v>
      </c>
      <c r="H7" s="7"/>
      <c r="I7" s="5" t="s">
        <v>74</v>
      </c>
      <c r="J7" s="7">
        <f>COUNTIF(Raw_Data!B$2:B$61,I7)</f>
        <v>10</v>
      </c>
      <c r="K7" s="7">
        <f>COUNTIFS(Raw_Data!B$2:B$61,I7,Raw_Data!H$2:H$61,"Selected")</f>
        <v>5</v>
      </c>
      <c r="L7" s="7">
        <f>COUNTIFS(Raw_Data!B$2:B$61,I7,Raw_Data!I$2:I$61,"Joined")</f>
        <v>5</v>
      </c>
    </row>
    <row r="8" spans="1:12" x14ac:dyDescent="0.25">
      <c r="A8" s="5" t="s">
        <v>106</v>
      </c>
      <c r="B8" s="7">
        <f>COUNTIF(Raw_Data!H2:H61,"Selected")</f>
        <v>35</v>
      </c>
      <c r="C8" s="7"/>
      <c r="D8" s="5" t="s">
        <v>87</v>
      </c>
      <c r="E8" s="7">
        <f>COUNTIF(Raw_Data!D$2:D$61,D8)</f>
        <v>14</v>
      </c>
      <c r="F8" s="7">
        <f>COUNTIFS(Raw_Data!D$2:D$61,D8,Raw_Data!H$2:H$61,"Selected")</f>
        <v>12</v>
      </c>
      <c r="G8" s="7">
        <f>COUNTIFS(Raw_Data!D$2:D$61,D8,Raw_Data!I$2:I$61,"Joined")</f>
        <v>10</v>
      </c>
      <c r="H8" s="7"/>
      <c r="I8" s="5" t="s">
        <v>75</v>
      </c>
      <c r="J8" s="7">
        <f>COUNTIF(Raw_Data!B$2:B$61,I8)</f>
        <v>10</v>
      </c>
      <c r="K8" s="7">
        <f>COUNTIFS(Raw_Data!B$2:B$61,I8,Raw_Data!H$2:H$61,"Selected")</f>
        <v>6</v>
      </c>
      <c r="L8" s="7">
        <f>COUNTIFS(Raw_Data!B$2:B$61,I8,Raw_Data!I$2:I$61,"Joined")</f>
        <v>5</v>
      </c>
    </row>
    <row r="9" spans="1:12" x14ac:dyDescent="0.25">
      <c r="A9" s="5" t="s">
        <v>107</v>
      </c>
      <c r="B9" s="7">
        <f>COUNTIF(Raw_Data!I2:I61,"Joined")</f>
        <v>32</v>
      </c>
      <c r="C9" s="7"/>
      <c r="D9" s="5" t="s">
        <v>88</v>
      </c>
      <c r="E9" s="7">
        <f>COUNTIF(Raw_Data!D$2:D$61,D9)</f>
        <v>8</v>
      </c>
      <c r="F9" s="7">
        <f>COUNTIFS(Raw_Data!D$2:D$61,D9,Raw_Data!H$2:H$61,"Selected")</f>
        <v>0</v>
      </c>
      <c r="G9" s="7">
        <f>COUNTIFS(Raw_Data!D$2:D$61,D9,Raw_Data!I$2:I$61,"Joined")</f>
        <v>0</v>
      </c>
      <c r="H9" s="7"/>
      <c r="I9" s="5" t="s">
        <v>76</v>
      </c>
      <c r="J9" s="7">
        <f>COUNTIF(Raw_Data!B$2:B$61,I9)</f>
        <v>10</v>
      </c>
      <c r="K9" s="7">
        <f>COUNTIFS(Raw_Data!B$2:B$61,I9,Raw_Data!H$2:H$61,"Selected")</f>
        <v>6</v>
      </c>
      <c r="L9" s="7">
        <f>COUNTIFS(Raw_Data!B$2:B$61,I9,Raw_Data!I$2:I$61,"Joined")</f>
        <v>6</v>
      </c>
    </row>
    <row r="10" spans="1:12" x14ac:dyDescent="0.25">
      <c r="A10" s="5" t="s">
        <v>108</v>
      </c>
      <c r="B10" s="7">
        <f>AVERAGEIF(Raw_Data!K2:K61,"&gt;0",Raw_Data!K2:K61)</f>
        <v>26.060606060606062</v>
      </c>
      <c r="C10" s="7"/>
      <c r="D10" s="5" t="s">
        <v>89</v>
      </c>
      <c r="E10" s="7">
        <f>COUNTIF(Raw_Data!D$2:D$61,D10)</f>
        <v>6</v>
      </c>
      <c r="F10" s="7">
        <f>COUNTIFS(Raw_Data!D$2:D$61,D10,Raw_Data!H$2:H$61,"Selected")</f>
        <v>4</v>
      </c>
      <c r="G10" s="7">
        <f>COUNTIFS(Raw_Data!D$2:D$61,D10,Raw_Data!I$2:I$61,"Joined")</f>
        <v>4</v>
      </c>
      <c r="H10" s="7"/>
      <c r="I10" s="5" t="s">
        <v>77</v>
      </c>
      <c r="J10" s="7">
        <f>COUNTIF(Raw_Data!B$2:B$61,I10)</f>
        <v>10</v>
      </c>
      <c r="K10" s="7">
        <f>COUNTIFS(Raw_Data!B$2:B$61,I10,Raw_Data!H$2:H$61,"Selected")</f>
        <v>6</v>
      </c>
      <c r="L10" s="7">
        <f>COUNTIFS(Raw_Data!B$2:B$61,I10,Raw_Data!I$2:I$61,"Joined")</f>
        <v>4</v>
      </c>
    </row>
    <row r="11" spans="1:12" x14ac:dyDescent="0.25">
      <c r="A11" s="5" t="s">
        <v>109</v>
      </c>
      <c r="B11" s="8">
        <f>SUM(Raw_Data!L2:L61)</f>
        <v>764100</v>
      </c>
      <c r="C11" s="7"/>
      <c r="D11" s="5"/>
      <c r="E11" s="7"/>
      <c r="F11" s="7"/>
      <c r="G11" s="7"/>
      <c r="H11" s="7"/>
      <c r="I11" s="5" t="s">
        <v>78</v>
      </c>
      <c r="J11" s="7">
        <f>COUNTIF(Raw_Data!B$2:B$61,I11)</f>
        <v>10</v>
      </c>
      <c r="K11" s="7">
        <f>COUNTIFS(Raw_Data!B$2:B$61,I11,Raw_Data!H$2:H$61,"Selected")</f>
        <v>4</v>
      </c>
      <c r="L11" s="7">
        <f>COUNTIFS(Raw_Data!B$2:B$61,I11,Raw_Data!I$2:I$61,"Joined")</f>
        <v>4</v>
      </c>
    </row>
    <row r="12" spans="1:12" x14ac:dyDescent="0.25">
      <c r="A12" s="5" t="s">
        <v>110</v>
      </c>
      <c r="B12" s="9">
        <f>AVERAGE(Raw_Data!M2:M61)</f>
        <v>52433.333333333336</v>
      </c>
      <c r="C12" s="7"/>
      <c r="D12" s="5"/>
      <c r="E12" s="7"/>
      <c r="F12" s="7"/>
      <c r="G12" s="7"/>
      <c r="H12" s="7"/>
      <c r="I12" s="5"/>
      <c r="J12" s="7"/>
      <c r="K12" s="7"/>
      <c r="L12" s="7"/>
    </row>
    <row r="13" spans="1:12" x14ac:dyDescent="0.25">
      <c r="A13" s="5"/>
      <c r="B13" s="10"/>
      <c r="C13" s="7"/>
      <c r="D13" s="5"/>
      <c r="E13" s="7"/>
      <c r="F13" s="7"/>
      <c r="G13" s="7"/>
      <c r="H13" s="7"/>
      <c r="I13" s="5"/>
      <c r="J13" s="7"/>
      <c r="K13" s="7"/>
      <c r="L13" s="7"/>
    </row>
    <row r="14" spans="1:12" x14ac:dyDescent="0.25">
      <c r="A14" s="5" t="s">
        <v>111</v>
      </c>
      <c r="B14" s="13">
        <f>B6/B5</f>
        <v>0.81666666666666665</v>
      </c>
      <c r="C14" s="7"/>
      <c r="D14" s="14" t="s">
        <v>119</v>
      </c>
      <c r="E14" s="14"/>
      <c r="F14" s="7"/>
      <c r="G14" s="7"/>
      <c r="H14" s="7"/>
      <c r="I14" s="14" t="s">
        <v>120</v>
      </c>
      <c r="J14" s="14"/>
      <c r="K14" s="7"/>
      <c r="L14" s="7"/>
    </row>
    <row r="15" spans="1:12" x14ac:dyDescent="0.25">
      <c r="A15" s="5" t="s">
        <v>112</v>
      </c>
      <c r="B15" s="13">
        <f>B8/B7</f>
        <v>0.7142857142857143</v>
      </c>
      <c r="C15" s="7"/>
      <c r="D15" s="5" t="s">
        <v>3</v>
      </c>
      <c r="E15" s="7" t="s">
        <v>100</v>
      </c>
      <c r="F15" s="7"/>
      <c r="G15" s="7"/>
      <c r="H15" s="7"/>
      <c r="I15" s="5" t="s">
        <v>1</v>
      </c>
      <c r="J15" s="7" t="s">
        <v>95</v>
      </c>
      <c r="K15" s="7"/>
      <c r="L15" s="7"/>
    </row>
    <row r="16" spans="1:12" x14ac:dyDescent="0.25">
      <c r="A16" s="5" t="s">
        <v>113</v>
      </c>
      <c r="B16" s="13">
        <f>B9/B8</f>
        <v>0.91428571428571426</v>
      </c>
      <c r="C16" s="7"/>
      <c r="D16" s="5" t="s">
        <v>85</v>
      </c>
      <c r="E16" s="7">
        <f>E6</f>
        <v>17</v>
      </c>
      <c r="F16" s="7"/>
      <c r="G16" s="7"/>
      <c r="H16" s="7"/>
      <c r="I16" s="5" t="s">
        <v>73</v>
      </c>
      <c r="J16" s="7">
        <f t="shared" ref="J16:J21" si="0">L6</f>
        <v>8</v>
      </c>
      <c r="K16" s="7"/>
      <c r="L16" s="7"/>
    </row>
    <row r="17" spans="1:12" x14ac:dyDescent="0.25">
      <c r="A17" s="5"/>
      <c r="B17" s="7"/>
      <c r="C17" s="7"/>
      <c r="D17" s="5" t="s">
        <v>86</v>
      </c>
      <c r="E17" s="7">
        <f>E7</f>
        <v>15</v>
      </c>
      <c r="F17" s="7"/>
      <c r="G17" s="7"/>
      <c r="H17" s="7"/>
      <c r="I17" s="5" t="s">
        <v>74</v>
      </c>
      <c r="J17" s="7">
        <f t="shared" si="0"/>
        <v>5</v>
      </c>
      <c r="K17" s="7"/>
      <c r="L17" s="7"/>
    </row>
    <row r="18" spans="1:12" x14ac:dyDescent="0.25">
      <c r="A18" s="5"/>
      <c r="B18" s="7"/>
      <c r="C18" s="7"/>
      <c r="D18" s="5" t="s">
        <v>87</v>
      </c>
      <c r="E18" s="7">
        <f>E8</f>
        <v>14</v>
      </c>
      <c r="F18" s="7"/>
      <c r="G18" s="7"/>
      <c r="H18" s="7"/>
      <c r="I18" s="5" t="s">
        <v>75</v>
      </c>
      <c r="J18" s="7">
        <f t="shared" si="0"/>
        <v>5</v>
      </c>
      <c r="K18" s="7"/>
      <c r="L18" s="7"/>
    </row>
    <row r="19" spans="1:12" x14ac:dyDescent="0.25">
      <c r="A19" s="14" t="s">
        <v>115</v>
      </c>
      <c r="B19" s="14"/>
      <c r="C19" s="7"/>
      <c r="D19" s="5" t="s">
        <v>88</v>
      </c>
      <c r="E19" s="7">
        <f>E9</f>
        <v>8</v>
      </c>
      <c r="F19" s="7"/>
      <c r="G19" s="7"/>
      <c r="H19" s="7"/>
      <c r="I19" s="5" t="s">
        <v>76</v>
      </c>
      <c r="J19" s="7">
        <f t="shared" si="0"/>
        <v>6</v>
      </c>
      <c r="K19" s="7"/>
      <c r="L19" s="7"/>
    </row>
    <row r="20" spans="1:12" x14ac:dyDescent="0.25">
      <c r="A20" s="5" t="s">
        <v>116</v>
      </c>
      <c r="B20" s="7" t="s">
        <v>100</v>
      </c>
      <c r="C20" s="7"/>
      <c r="D20" s="5" t="s">
        <v>89</v>
      </c>
      <c r="E20" s="7">
        <f>E10</f>
        <v>6</v>
      </c>
      <c r="F20" s="7"/>
      <c r="G20" s="7"/>
      <c r="H20" s="7"/>
      <c r="I20" s="5" t="s">
        <v>77</v>
      </c>
      <c r="J20" s="7">
        <f t="shared" si="0"/>
        <v>4</v>
      </c>
      <c r="K20" s="7"/>
      <c r="L20" s="7"/>
    </row>
    <row r="21" spans="1:12" x14ac:dyDescent="0.25">
      <c r="A21" s="5" t="s">
        <v>117</v>
      </c>
      <c r="B21" s="7">
        <f>B5</f>
        <v>60</v>
      </c>
      <c r="C21" s="7"/>
      <c r="D21" s="5"/>
      <c r="E21" s="7"/>
      <c r="F21" s="7"/>
      <c r="G21" s="7"/>
      <c r="H21" s="7"/>
      <c r="I21" s="5" t="s">
        <v>78</v>
      </c>
      <c r="J21" s="7">
        <f t="shared" si="0"/>
        <v>4</v>
      </c>
      <c r="K21" s="7"/>
      <c r="L21" s="7"/>
    </row>
    <row r="22" spans="1:12" x14ac:dyDescent="0.25">
      <c r="A22" s="5" t="s">
        <v>90</v>
      </c>
      <c r="B22" s="7">
        <f>B6</f>
        <v>49</v>
      </c>
      <c r="C22" s="7"/>
      <c r="D22" s="5"/>
      <c r="E22" s="7"/>
      <c r="F22" s="7"/>
      <c r="G22" s="7"/>
      <c r="H22" s="7"/>
      <c r="I22" s="5"/>
      <c r="J22" s="7"/>
      <c r="K22" s="7"/>
      <c r="L22" s="7"/>
    </row>
    <row r="23" spans="1:12" x14ac:dyDescent="0.25">
      <c r="A23" s="5" t="s">
        <v>118</v>
      </c>
      <c r="B23" s="7">
        <f>B7</f>
        <v>49</v>
      </c>
      <c r="C23" s="7"/>
      <c r="D23" s="5"/>
      <c r="E23" s="7"/>
      <c r="F23" s="7"/>
      <c r="G23" s="7"/>
      <c r="H23" s="7"/>
      <c r="I23" s="5"/>
      <c r="J23" s="7"/>
      <c r="K23" s="7"/>
      <c r="L23" s="7"/>
    </row>
    <row r="24" spans="1:12" x14ac:dyDescent="0.25">
      <c r="A24" s="5" t="s">
        <v>92</v>
      </c>
      <c r="B24" s="7">
        <f>B8</f>
        <v>35</v>
      </c>
      <c r="C24" s="7"/>
      <c r="D24" s="5"/>
      <c r="E24" s="7"/>
      <c r="F24" s="7"/>
      <c r="G24" s="7"/>
      <c r="H24" s="7"/>
      <c r="I24" s="5"/>
      <c r="J24" s="7"/>
      <c r="K24" s="7"/>
      <c r="L24" s="7"/>
    </row>
    <row r="25" spans="1:12" x14ac:dyDescent="0.25">
      <c r="A25" s="5" t="s">
        <v>95</v>
      </c>
      <c r="B25" s="7">
        <f>B9</f>
        <v>32</v>
      </c>
      <c r="C25" s="7"/>
      <c r="D25" s="5"/>
      <c r="E25" s="7"/>
      <c r="F25" s="7"/>
      <c r="G25" s="7"/>
      <c r="H25" s="7"/>
      <c r="I25" s="5"/>
      <c r="J25" s="7"/>
      <c r="K25" s="7"/>
      <c r="L25" s="7"/>
    </row>
  </sheetData>
  <mergeCells count="8">
    <mergeCell ref="D14:E14"/>
    <mergeCell ref="I14:J14"/>
    <mergeCell ref="A19:B19"/>
    <mergeCell ref="A1:L1"/>
    <mergeCell ref="A2:L2"/>
    <mergeCell ref="A4:B4"/>
    <mergeCell ref="D4:G4"/>
    <mergeCell ref="I4:L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FD76-6124-4714-9F3F-4E4ADD8E50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2026-09-22T11:42:39Z</dcterms:created>
  <dcterms:modified xsi:type="dcterms:W3CDTF">2026-09-26T12:21:53Z</dcterms:modified>
</cp:coreProperties>
</file>